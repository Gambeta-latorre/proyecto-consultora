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Costo por contenedor" sheetId="2" state="visible" r:id="rId2"/>
    <sheet xmlns:r="http://schemas.openxmlformats.org/officeDocument/2006/relationships" name="Inversión inicial" sheetId="3" state="visible" r:id="rId3"/>
    <sheet xmlns:r="http://schemas.openxmlformats.org/officeDocument/2006/relationships" name="Proyección 3 años" sheetId="4" state="visible" r:id="rId4"/>
    <sheet xmlns:r="http://schemas.openxmlformats.org/officeDocument/2006/relationships" name="E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USD&quot; #,##0.00"/>
    <numFmt numFmtId="165" formatCode="&quot;USD&quot; #,##0;[Red]-&quot;USD&quot; #,##0"/>
    <numFmt numFmtId="166" formatCode="0.0%"/>
    <numFmt numFmtId="167" formatCode="&quot;ARS&quot; #,##0"/>
    <numFmt numFmtId="168" formatCode="0.0"/>
  </numFmts>
  <fonts count="6">
    <font>
      <name val="Calibri"/>
      <family val="2"/>
      <color theme="1"/>
      <sz val="11"/>
      <scheme val="minor"/>
    </font>
    <font>
      <b val="1"/>
      <color rgb="001F4D3A"/>
      <sz val="16"/>
    </font>
    <font>
      <i val="1"/>
      <color rgb="00666666"/>
    </font>
    <font>
      <b val="1"/>
      <color rgb="00FFFFFF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E8F1EB"/>
      </patternFill>
    </fill>
  </fills>
  <borders count="2">
    <border>
      <left/>
      <right/>
      <top/>
      <bottom/>
      <diagonal/>
    </border>
    <border>
      <left style="thin">
        <color rgb="00C8D3CB"/>
      </left>
      <right style="thin">
        <color rgb="00C8D3CB"/>
      </right>
      <top style="thin">
        <color rgb="00C8D3CB"/>
      </top>
      <bottom style="thin">
        <color rgb="00C8D3C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4" fontId="4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165" fontId="5" fillId="3" borderId="1" pivotButton="0" quotePrefix="0" xfId="0"/>
    <xf numFmtId="164" fontId="5" fillId="3" borderId="1" pivotButton="0" quotePrefix="0" xfId="0"/>
    <xf numFmtId="166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0" fontId="5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70" customWidth="1" min="3" max="3"/>
  </cols>
  <sheetData>
    <row r="1">
      <c r="A1" s="1" t="inlineStr">
        <is>
          <t>Proyecto ASHAB · Supuestos del modelo</t>
        </is>
      </c>
    </row>
    <row r="2">
      <c r="A2" s="2" t="inlineStr">
        <is>
          <t>Las celdas en azul se pueden modificar: todo el libro se recalcula solo. Valores en USD salvo indicación.</t>
        </is>
      </c>
    </row>
    <row r="3">
      <c r="A3" s="3" t="inlineStr">
        <is>
          <t>Supuesto</t>
        </is>
      </c>
      <c r="B3" s="3" t="inlineStr">
        <is>
          <t>Valor</t>
        </is>
      </c>
      <c r="C3" s="3" t="inlineStr">
        <is>
          <t>Nota</t>
        </is>
      </c>
    </row>
    <row r="4">
      <c r="A4" s="4" t="inlineStr">
        <is>
          <t>Tipo de cambio ARS por USD</t>
        </is>
      </c>
      <c r="B4" s="5" t="n">
        <v>1450</v>
      </c>
      <c r="C4" s="4" t="inlineStr">
        <is>
          <t>Supuesto: actualizar al día de uso</t>
        </is>
      </c>
    </row>
    <row r="5">
      <c r="A5" s="4" t="inlineStr">
        <is>
          <t>Kg netos por contenedor 40'</t>
        </is>
      </c>
      <c r="B5" s="5" t="n">
        <v>24000</v>
      </c>
      <c r="C5" s="4" t="inlineStr">
        <is>
          <t>Bolsas de 1 kg en cajas de 10 kg, contenedor seco de 40 pies</t>
        </is>
      </c>
    </row>
    <row r="6">
      <c r="A6" s="4" t="inlineStr">
        <is>
          <t>Costo yerba empacada en planta (USD/kg)</t>
        </is>
      </c>
      <c r="B6" s="6" t="n">
        <v>1.55</v>
      </c>
      <c r="C6" s="4" t="inlineStr">
        <is>
          <t>Precio del cliente puesto en planta, a confirmar con la yerbatera</t>
        </is>
      </c>
    </row>
    <row r="7">
      <c r="A7" s="4" t="inlineStr">
        <is>
          <t>Packaging de marca ASHAB bilingüe (USD/kg)</t>
        </is>
      </c>
      <c r="B7" s="6" t="n">
        <v>0.1</v>
      </c>
      <c r="C7" s="4" t="inlineStr">
        <is>
          <t>Extra sobre el packaging estándar</t>
        </is>
      </c>
    </row>
    <row r="8">
      <c r="A8" s="4" t="inlineStr">
        <is>
          <t>Flete interno Misiones a Buenos Aires (USD/contenedor)</t>
        </is>
      </c>
      <c r="B8" s="7" t="n">
        <v>2400</v>
      </c>
      <c r="C8" s="4" t="inlineStr">
        <is>
          <t>Aprox. 1.100 km</t>
        </is>
      </c>
    </row>
    <row r="9">
      <c r="A9" s="4" t="inlineStr">
        <is>
          <t>Gastos de exportación (USD/contenedor)</t>
        </is>
      </c>
      <c r="B9" s="7" t="n">
        <v>1600</v>
      </c>
      <c r="C9" s="4" t="inlineStr">
        <is>
          <t>Despachante, THC origen, documentación, precintos</t>
        </is>
      </c>
    </row>
    <row r="10">
      <c r="A10" s="4" t="inlineStr">
        <is>
          <t>Flete marítimo Buenos Aires a Beirut/Jebel Ali (USD/contenedor)</t>
        </is>
      </c>
      <c r="B10" s="7" t="n">
        <v>4200</v>
      </c>
      <c r="C10" s="4" t="inlineStr">
        <is>
          <t>Incluye recargo por riesgo de zona; cotizar con naviera</t>
        </is>
      </c>
    </row>
    <row r="11">
      <c r="A11" s="4" t="inlineStr">
        <is>
          <t>Prima de seguro de carga (% del valor asegurado)</t>
        </is>
      </c>
      <c r="B11" s="8" t="n">
        <v>0.006</v>
      </c>
      <c r="C11" s="4" t="inlineStr"/>
    </row>
    <row r="12">
      <c r="A12" s="4" t="inlineStr">
        <is>
          <t>Valor asegurado (multiplicador sobre CIF)</t>
        </is>
      </c>
      <c r="B12" s="9" t="n">
        <v>1.1</v>
      </c>
      <c r="C12" s="4" t="inlineStr">
        <is>
          <t>Práctica habitual: CIF + 10%</t>
        </is>
      </c>
    </row>
    <row r="13">
      <c r="A13" s="4" t="inlineStr">
        <is>
          <t>Derechos de exportación (% sobre FOB)</t>
        </is>
      </c>
      <c r="B13" s="8" t="n">
        <v>0</v>
      </c>
      <c r="C13" s="4" t="inlineStr">
        <is>
          <t>Supuesto 0%: verificar alícuota vigente en ARCA</t>
        </is>
      </c>
    </row>
    <row r="14">
      <c r="A14" s="4" t="inlineStr">
        <is>
          <t>Precio de venta CIF (USD/kg)</t>
        </is>
      </c>
      <c r="B14" s="6" t="n">
        <v>2.55</v>
      </c>
      <c r="C14" s="4" t="inlineStr">
        <is>
          <t>Equivale a unos 2,36 USD/kg FOB</t>
        </is>
      </c>
    </row>
    <row r="15">
      <c r="A15" s="4" t="inlineStr">
        <is>
          <t>Costo de carta de crédito (% de la venta)</t>
        </is>
      </c>
      <c r="B15" s="8" t="n">
        <v>0.008</v>
      </c>
      <c r="C15" s="4" t="inlineStr">
        <is>
          <t>Apertura, confirmación y gastos</t>
        </is>
      </c>
    </row>
    <row r="16">
      <c r="A16" s="4" t="inlineStr">
        <is>
          <t>Gastos bancarios y cobranza (USD/contenedor)</t>
        </is>
      </c>
      <c r="B16" s="7" t="n">
        <v>300</v>
      </c>
      <c r="C16" s="4" t="inlineStr"/>
    </row>
    <row r="17">
      <c r="A17" s="4" t="inlineStr">
        <is>
          <t>Seña obligatoria para confirmar el pedido (% de la venta)</t>
        </is>
      </c>
      <c r="B17" s="8" t="n">
        <v>0.5</v>
      </c>
      <c r="C17" s="4" t="inlineStr">
        <is>
          <t>Se cobra antes de producir; el saldo, antes de cargar el contenedor</t>
        </is>
      </c>
    </row>
    <row r="18">
      <c r="A18" s="4" t="inlineStr">
        <is>
          <t>Honorario de éxito de Rumbo Global (% de la venta)</t>
        </is>
      </c>
      <c r="B18" s="8" t="n">
        <v>0.03</v>
      </c>
      <c r="C18" s="4" t="inlineStr">
        <is>
          <t>Se cobra solo por embarque cobrado</t>
        </is>
      </c>
    </row>
    <row r="19">
      <c r="A19" s="4" t="inlineStr">
        <is>
          <t>Contenedores año 1</t>
        </is>
      </c>
      <c r="B19" s="5" t="n">
        <v>6</v>
      </c>
      <c r="C19" s="4" t="inlineStr">
        <is>
          <t>Primer embarque en el mes 7 y luego uno por mes</t>
        </is>
      </c>
    </row>
    <row r="20">
      <c r="A20" s="4" t="inlineStr">
        <is>
          <t>Contenedores año 2</t>
        </is>
      </c>
      <c r="B20" s="5" t="n">
        <v>14</v>
      </c>
      <c r="C20" s="4" t="inlineStr"/>
    </row>
    <row r="21">
      <c r="A21" s="4" t="inlineStr">
        <is>
          <t>Contenedores año 3</t>
        </is>
      </c>
      <c r="B21" s="5" t="n">
        <v>24</v>
      </c>
      <c r="C21" s="4" t="inlineStr"/>
    </row>
    <row r="22">
      <c r="A22" s="4" t="inlineStr">
        <is>
          <t>Mantenimiento web y sistema (USD/año, años 2 y 3)</t>
        </is>
      </c>
      <c r="B22" s="7" t="n">
        <v>600</v>
      </c>
      <c r="C22" s="4" t="inlineStr"/>
    </row>
    <row r="23">
      <c r="A23" s="4" t="inlineStr">
        <is>
          <t>Agente comercial en destino (USD/año, años 2 y 3)</t>
        </is>
      </c>
      <c r="B23" s="7" t="n">
        <v>12000</v>
      </c>
      <c r="C23" s="4" t="inlineStr"/>
    </row>
    <row r="24">
      <c r="A24" s="4" t="inlineStr">
        <is>
          <t>Feria anual (USD/año, años 2 y 3)</t>
        </is>
      </c>
      <c r="B24" s="7" t="n">
        <v>8000</v>
      </c>
      <c r="C24" s="4" t="inlineStr"/>
    </row>
    <row r="25">
      <c r="A25" s="4" t="inlineStr">
        <is>
          <t>Consultoría de seguimiento (USD/año, años 2 y 3)</t>
        </is>
      </c>
      <c r="B25" s="7" t="n">
        <v>6000</v>
      </c>
      <c r="C25" s="4" t="inlineStr"/>
    </row>
    <row r="26">
      <c r="A26" s="4" t="inlineStr">
        <is>
          <t>Imprevistos sobre inversión inicial (%)</t>
        </is>
      </c>
      <c r="B26" s="8" t="n">
        <v>0.05</v>
      </c>
      <c r="C2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Costo y margen de un contenedor 40' (24 toneladas)</t>
        </is>
      </c>
    </row>
    <row r="2">
      <c r="A2" s="2" t="inlineStr">
        <is>
          <t>Del precio de planta al cobro en destino</t>
        </is>
      </c>
    </row>
    <row r="3">
      <c r="A3" s="3" t="inlineStr">
        <is>
          <t>Concepto</t>
        </is>
      </c>
      <c r="B3" s="3" t="inlineStr">
        <is>
          <t>USD</t>
        </is>
      </c>
      <c r="C3" s="3" t="inlineStr">
        <is>
          <t>USD por kg</t>
        </is>
      </c>
    </row>
    <row r="4">
      <c r="A4" s="4" t="inlineStr">
        <is>
          <t>Yerba empacada en planta</t>
        </is>
      </c>
      <c r="B4" s="10">
        <f>Supuestos!$B$5*Supuestos!$B$6</f>
        <v/>
      </c>
      <c r="C4" s="11">
        <f>B4/Supuestos!$B$5</f>
        <v/>
      </c>
    </row>
    <row r="5">
      <c r="A5" s="4" t="inlineStr">
        <is>
          <t>Packaging de marca bilingüe</t>
        </is>
      </c>
      <c r="B5" s="10">
        <f>Supuestos!$B$5*Supuestos!$B$7</f>
        <v/>
      </c>
      <c r="C5" s="11">
        <f>B5/Supuestos!$B$5</f>
        <v/>
      </c>
    </row>
    <row r="6">
      <c r="A6" s="4" t="inlineStr">
        <is>
          <t>Flete interno a Buenos Aires</t>
        </is>
      </c>
      <c r="B6" s="10">
        <f>Supuestos!$B$8</f>
        <v/>
      </c>
      <c r="C6" s="11">
        <f>B6/Supuestos!$B$5</f>
        <v/>
      </c>
    </row>
    <row r="7">
      <c r="A7" s="4" t="inlineStr">
        <is>
          <t>Gastos de exportación</t>
        </is>
      </c>
      <c r="B7" s="10">
        <f>Supuestos!$B$9</f>
        <v/>
      </c>
      <c r="C7" s="11">
        <f>B7/Supuestos!$B$5</f>
        <v/>
      </c>
    </row>
    <row r="8">
      <c r="A8" s="4" t="inlineStr">
        <is>
          <t>Derechos de exportación</t>
        </is>
      </c>
      <c r="B8" s="10">
        <f>SUM(B4:B7)*Supuestos!$B$13</f>
        <v/>
      </c>
      <c r="C8" s="11">
        <f>B8/Supuestos!$B$5</f>
        <v/>
      </c>
    </row>
    <row r="9">
      <c r="A9" s="12" t="inlineStr">
        <is>
          <t>COSTO FOB</t>
        </is>
      </c>
      <c r="B9" s="13">
        <f>SUM(B4:B8)</f>
        <v/>
      </c>
      <c r="C9" s="14">
        <f>B9/Supuestos!$B$5</f>
        <v/>
      </c>
    </row>
    <row r="10">
      <c r="A10" s="4" t="inlineStr">
        <is>
          <t>Flete marítimo</t>
        </is>
      </c>
      <c r="B10" s="10">
        <f>Supuestos!$B$10</f>
        <v/>
      </c>
      <c r="C10" s="11">
        <f>B10/Supuestos!$B$5</f>
        <v/>
      </c>
    </row>
    <row r="11">
      <c r="A11" s="4" t="inlineStr">
        <is>
          <t>Seguro de carga</t>
        </is>
      </c>
      <c r="B11" s="10">
        <f>(B9+B10)*Supuestos!$B$12*Supuestos!$B$11</f>
        <v/>
      </c>
      <c r="C11" s="11">
        <f>B11/Supuestos!$B$5</f>
        <v/>
      </c>
    </row>
    <row r="12">
      <c r="A12" s="12" t="inlineStr">
        <is>
          <t>COSTO CIF</t>
        </is>
      </c>
      <c r="B12" s="13">
        <f>B9+B10+B11</f>
        <v/>
      </c>
      <c r="C12" s="14">
        <f>B12/Supuestos!$B$5</f>
        <v/>
      </c>
    </row>
    <row r="13">
      <c r="A13" s="12" t="inlineStr">
        <is>
          <t>Venta CIF al importador</t>
        </is>
      </c>
      <c r="B13" s="13">
        <f>Supuestos!$B$5*Supuestos!$B$14</f>
        <v/>
      </c>
      <c r="C13" s="14">
        <f>B13/Supuestos!$B$5</f>
        <v/>
      </c>
    </row>
    <row r="14">
      <c r="A14" s="4" t="inlineStr">
        <is>
          <t>Carta de crédito</t>
        </is>
      </c>
      <c r="B14" s="10">
        <f>B13*Supuestos!$B$15</f>
        <v/>
      </c>
      <c r="C14" s="11">
        <f>B14/Supuestos!$B$5</f>
        <v/>
      </c>
    </row>
    <row r="15">
      <c r="A15" s="4" t="inlineStr">
        <is>
          <t>Gastos bancarios y cobranza</t>
        </is>
      </c>
      <c r="B15" s="10">
        <f>Supuestos!$B$16</f>
        <v/>
      </c>
      <c r="C15" s="11">
        <f>B15/Supuestos!$B$5</f>
        <v/>
      </c>
    </row>
    <row r="16">
      <c r="A16" s="4" t="inlineStr">
        <is>
          <t>Honorario de éxito de Rumbo Global</t>
        </is>
      </c>
      <c r="B16" s="10">
        <f>B13*Supuestos!$B$18</f>
        <v/>
      </c>
      <c r="C16" s="11">
        <f>B16/Supuestos!$B$5</f>
        <v/>
      </c>
    </row>
    <row r="17">
      <c r="A17" s="12" t="inlineStr">
        <is>
          <t>COSTO TOTAL</t>
        </is>
      </c>
      <c r="B17" s="13">
        <f>B12+B14+B15+B16</f>
        <v/>
      </c>
      <c r="C17" s="14">
        <f>B17/Supuestos!$B$5</f>
        <v/>
      </c>
    </row>
    <row r="18">
      <c r="A18" s="12" t="inlineStr">
        <is>
          <t>MARGEN NETO POR CONTENEDOR</t>
        </is>
      </c>
      <c r="B18" s="13">
        <f>B13-B17</f>
        <v/>
      </c>
      <c r="C18" s="14">
        <f>B18/Supuestos!$B$5</f>
        <v/>
      </c>
    </row>
    <row r="19">
      <c r="A19" s="4" t="inlineStr">
        <is>
          <t>Margen sobre ventas</t>
        </is>
      </c>
      <c r="B19" s="15">
        <f>B18/B13</f>
        <v/>
      </c>
    </row>
    <row r="20">
      <c r="A20" s="4" t="inlineStr">
        <is>
          <t>Precio FOB equivalente (USD/kg)</t>
        </is>
      </c>
      <c r="B20" s="11">
        <f>(B13-B10-B11)/Supuestos!$B$5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60" customWidth="1" min="3" max="3"/>
  </cols>
  <sheetData>
    <row r="1">
      <c r="A1" s="1" t="inlineStr">
        <is>
          <t>Inversión inicial del proyecto</t>
        </is>
      </c>
    </row>
    <row r="2">
      <c r="A2" s="2" t="inlineStr">
        <is>
          <t>Se paga una sola vez durante el primer año</t>
        </is>
      </c>
    </row>
    <row r="3">
      <c r="A3" s="3" t="inlineStr">
        <is>
          <t>Rubro</t>
        </is>
      </c>
      <c r="B3" s="3" t="inlineStr">
        <is>
          <t>USD</t>
        </is>
      </c>
      <c r="C3" s="3" t="inlineStr">
        <is>
          <t>Detalle</t>
        </is>
      </c>
    </row>
    <row r="4">
      <c r="A4" s="4" t="inlineStr">
        <is>
          <t>Estudio de mercado y plan de exportación (consultora)</t>
        </is>
      </c>
      <c r="B4" s="7" t="n">
        <v>8000</v>
      </c>
      <c r="C4" s="4" t="inlineStr">
        <is>
          <t>Diagnóstico, selección de países, precios y plan a 3 años</t>
        </is>
      </c>
    </row>
    <row r="5">
      <c r="A5" s="4" t="inlineStr">
        <is>
          <t>Registro de marca ASHAB (Argentina, Siria, Líbano, Jordania, EAU)</t>
        </is>
      </c>
      <c r="B5" s="7" t="n">
        <v>6500</v>
      </c>
      <c r="C5" s="4" t="inlineStr">
        <is>
          <t>Clase 30; tasas y honorarios de agentes locales</t>
        </is>
      </c>
    </row>
    <row r="6">
      <c r="A6" s="4" t="inlineStr">
        <is>
          <t>Diseño de packaging y etiquetas en español, inglés y árabe</t>
        </is>
      </c>
      <c r="B6" s="7" t="n">
        <v>3500</v>
      </c>
      <c r="C6" s="4" t="inlineStr">
        <is>
          <t>Incluye adaptación de gráfica y pruebas de impresión</t>
        </is>
      </c>
    </row>
    <row r="7">
      <c r="A7" s="4" t="inlineStr">
        <is>
          <t>Habilitaciones, análisis de laboratorio y certificados</t>
        </is>
      </c>
      <c r="B7" s="7" t="n">
        <v>2800</v>
      </c>
      <c r="C7" s="4" t="inlineStr">
        <is>
          <t>RNE, RNPA, análisis, certificado de origen y sanitarios</t>
        </is>
      </c>
    </row>
    <row r="8">
      <c r="A8" s="4" t="inlineStr">
        <is>
          <t>Certificación halal (recomendada)</t>
        </is>
      </c>
      <c r="B8" s="7" t="n">
        <v>2500</v>
      </c>
      <c r="C8" s="4" t="inlineStr">
        <is>
          <t>Facilita el ingreso a cadenas y distribuidores</t>
        </is>
      </c>
    </row>
    <row r="9">
      <c r="A9" s="4" t="inlineStr">
        <is>
          <t>Registros y trámites sanitarios en destino</t>
        </is>
      </c>
      <c r="B9" s="7" t="n">
        <v>4000</v>
      </c>
      <c r="C9" s="4" t="inlineStr">
        <is>
          <t>Agentes locales en los cuatro países</t>
        </is>
      </c>
    </row>
    <row r="10">
      <c r="A10" s="4" t="inlineStr">
        <is>
          <t>Sitio web trilingüe y sistema de clientes (desarrollo)</t>
        </is>
      </c>
      <c r="B10" s="7" t="n">
        <v>5500</v>
      </c>
      <c r="C10" s="4" t="inlineStr">
        <is>
          <t>Español, inglés y árabe; inicio de sesión con DNI</t>
        </is>
      </c>
    </row>
    <row r="11">
      <c r="A11" s="4" t="inlineStr">
        <is>
          <t>Dominio, hosting y mantenimiento (primer año)</t>
        </is>
      </c>
      <c r="B11" s="7" t="n">
        <v>600</v>
      </c>
      <c r="C11" s="4" t="inlineStr"/>
    </row>
    <row r="12">
      <c r="A12" s="4" t="inlineStr">
        <is>
          <t>Viaje de prospección: 2 personas, Dubái y Beirut, 10 días</t>
        </is>
      </c>
      <c r="B12" s="7" t="n">
        <v>9000</v>
      </c>
      <c r="C12" s="4" t="inlineStr">
        <is>
          <t>Pasajes, hotel, traslados y reuniones</t>
        </is>
      </c>
    </row>
    <row r="13">
      <c r="A13" s="4" t="inlineStr">
        <is>
          <t>Muestras y courier internacional</t>
        </is>
      </c>
      <c r="B13" s="7" t="n">
        <v>2000</v>
      </c>
      <c r="C13" s="4" t="inlineStr">
        <is>
          <t>Hasta 30 muestras de 1 kg</t>
        </is>
      </c>
    </row>
    <row r="14">
      <c r="A14" s="4" t="inlineStr">
        <is>
          <t>Feria Gulfood Dubái (stand compartido)</t>
        </is>
      </c>
      <c r="B14" s="7" t="n">
        <v>12000</v>
      </c>
      <c r="C14" s="4" t="inlineStr">
        <is>
          <t>Participación junto a otras empresas argentinas</t>
        </is>
      </c>
    </row>
    <row r="15">
      <c r="A15" s="4" t="inlineStr">
        <is>
          <t>Consultoría de implementación (6 meses)</t>
        </is>
      </c>
      <c r="B15" s="7" t="n">
        <v>13800</v>
      </c>
      <c r="C15" s="4" t="inlineStr">
        <is>
          <t>6 cuotas de 2.300 USD</t>
        </is>
      </c>
    </row>
    <row r="16">
      <c r="A16" s="4" t="inlineStr">
        <is>
          <t>Seguro de crédito a la exportación y contingencias</t>
        </is>
      </c>
      <c r="B16" s="7" t="n">
        <v>2000</v>
      </c>
      <c r="C16" s="4" t="inlineStr">
        <is>
          <t>Cobertura de riesgo comercial y político</t>
        </is>
      </c>
    </row>
    <row r="17">
      <c r="A17" s="4" t="inlineStr">
        <is>
          <t>Subtotal</t>
        </is>
      </c>
      <c r="B17" s="10">
        <f>SUM(B4:B16)</f>
        <v/>
      </c>
    </row>
    <row r="18">
      <c r="A18" s="4" t="inlineStr">
        <is>
          <t>Imprevistos</t>
        </is>
      </c>
      <c r="B18" s="10">
        <f>B17*Supuestos!$B$26</f>
        <v/>
      </c>
    </row>
    <row r="19">
      <c r="A19" s="12" t="inlineStr">
        <is>
          <t>INVERSIÓN INICIAL TOTAL (USD)</t>
        </is>
      </c>
      <c r="B19" s="13">
        <f>B17+B18</f>
        <v/>
      </c>
    </row>
    <row r="20">
      <c r="A20" s="4" t="inlineStr">
        <is>
          <t>Inversión inicial total (ARS)</t>
        </is>
      </c>
      <c r="B20" s="16">
        <f>B19*Supuestos!$B$4</f>
        <v/>
      </c>
    </row>
    <row r="21">
      <c r="A21" s="4" t="inlineStr">
        <is>
          <t>Capital de trabajo recomendado (2 contenedores, con seña del 50 %)</t>
        </is>
      </c>
      <c r="B21" s="10">
        <f>('Costo por contenedor'!B17-'Costo por contenedor'!B13*Supuestos!$B$17)*2</f>
        <v/>
      </c>
    </row>
    <row r="22">
      <c r="A22" s="12" t="inlineStr">
        <is>
          <t>NECESIDAD MÁXIMA DE FINANCIAMIENTO (USD)</t>
        </is>
      </c>
      <c r="B22" s="13">
        <f>B19+B21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Proyección a 3 años</t>
        </is>
      </c>
    </row>
    <row r="2">
      <c r="A2" s="2" t="inlineStr">
        <is>
          <t>No incluye impuesto a las ganancias ni costo financiero. El IVA de exportación está exento (se recupera el crédito fiscal).</t>
        </is>
      </c>
    </row>
    <row r="3">
      <c r="A3" s="3" t="inlineStr">
        <is>
          <t>Concepto</t>
        </is>
      </c>
      <c r="B3" s="3" t="inlineStr">
        <is>
          <t>Año 1</t>
        </is>
      </c>
      <c r="C3" s="3" t="inlineStr">
        <is>
          <t>Año 2</t>
        </is>
      </c>
      <c r="D3" s="3" t="inlineStr">
        <is>
          <t>Año 3</t>
        </is>
      </c>
    </row>
    <row r="4">
      <c r="A4" s="4" t="inlineStr">
        <is>
          <t>Contenedores de 40'</t>
        </is>
      </c>
      <c r="B4" s="17">
        <f>Supuestos!$B$19</f>
        <v/>
      </c>
      <c r="C4" s="17">
        <f>Supuestos!$B$20</f>
        <v/>
      </c>
      <c r="D4" s="17">
        <f>Supuestos!$B$21</f>
        <v/>
      </c>
    </row>
    <row r="5">
      <c r="A5" s="4" t="inlineStr">
        <is>
          <t>Ingresos por ventas</t>
        </is>
      </c>
      <c r="B5" s="10">
        <f>B4*'Costo por contenedor'!$B$13</f>
        <v/>
      </c>
      <c r="C5" s="10">
        <f>C4*'Costo por contenedor'!$B$13</f>
        <v/>
      </c>
      <c r="D5" s="10">
        <f>D4*'Costo por contenedor'!$B$13</f>
        <v/>
      </c>
    </row>
    <row r="6">
      <c r="A6" s="4" t="inlineStr">
        <is>
          <t>Costos variables (producto, logística, comisiones)</t>
        </is>
      </c>
      <c r="B6" s="10">
        <f>B4*'Costo por contenedor'!$B$17</f>
        <v/>
      </c>
      <c r="C6" s="10">
        <f>C4*'Costo por contenedor'!$B$17</f>
        <v/>
      </c>
      <c r="D6" s="10">
        <f>D4*'Costo por contenedor'!$B$17</f>
        <v/>
      </c>
    </row>
    <row r="7">
      <c r="A7" s="4" t="inlineStr">
        <is>
          <t>Margen de contribución</t>
        </is>
      </c>
      <c r="B7" s="10">
        <f>B5-B6</f>
        <v/>
      </c>
      <c r="C7" s="10">
        <f>C5-C6</f>
        <v/>
      </c>
      <c r="D7" s="10">
        <f>D5-D6</f>
        <v/>
      </c>
    </row>
    <row r="8">
      <c r="A8" s="4" t="inlineStr">
        <is>
          <t>Costos fijos (web, agente, feria, seguimiento)</t>
        </is>
      </c>
      <c r="B8" s="10" t="n">
        <v>0</v>
      </c>
      <c r="C8" s="10">
        <f>Supuestos!$B$22+Supuestos!$B$23+Supuestos!$B$24+Supuestos!$B$25</f>
        <v/>
      </c>
      <c r="D8" s="10">
        <f>Supuestos!$B$22+Supuestos!$B$23+Supuestos!$B$24+Supuestos!$B$25</f>
        <v/>
      </c>
    </row>
    <row r="9">
      <c r="A9" s="4" t="inlineStr">
        <is>
          <t>Inversión inicial</t>
        </is>
      </c>
      <c r="B9" s="10">
        <f>'Inversión inicial'!$B$19</f>
        <v/>
      </c>
      <c r="C9" s="10" t="n">
        <v>0</v>
      </c>
      <c r="D9" s="10" t="n">
        <v>0</v>
      </c>
    </row>
    <row r="10">
      <c r="A10" s="12" t="inlineStr">
        <is>
          <t>FLUJO NETO DEL AÑO</t>
        </is>
      </c>
      <c r="B10" s="13">
        <f>B7-B8-B9</f>
        <v/>
      </c>
      <c r="C10" s="13">
        <f>C7-C8-C9</f>
        <v/>
      </c>
      <c r="D10" s="13">
        <f>D7-D8-D9</f>
        <v/>
      </c>
    </row>
    <row r="11">
      <c r="A11" s="12" t="inlineStr">
        <is>
          <t>FLUJO ACUMULADO</t>
        </is>
      </c>
      <c r="B11" s="13">
        <f>B10</f>
        <v/>
      </c>
      <c r="C11" s="13">
        <f>B11+C10</f>
        <v/>
      </c>
      <c r="D11" s="13">
        <f>C11+D10</f>
        <v/>
      </c>
    </row>
    <row r="13">
      <c r="A13" s="18" t="inlineStr">
        <is>
          <t>Recupero de la inversión (meses aprox.)</t>
        </is>
      </c>
      <c r="B13" s="19">
        <f>IF(B11&gt;=0,12*B9/B7,12+(-B11)/(C10/12))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6" customWidth="1" min="4" max="4"/>
    <col width="28" customWidth="1" min="5" max="5"/>
  </cols>
  <sheetData>
    <row r="1">
      <c r="A1" s="1" t="inlineStr">
        <is>
          <t>Escenarios a 3 años</t>
        </is>
      </c>
    </row>
    <row r="2">
      <c r="A2" s="2" t="inlineStr">
        <is>
          <t>Se modifican el precio de venta y el volumen respecto del caso base</t>
        </is>
      </c>
    </row>
    <row r="3">
      <c r="A3" s="3" t="inlineStr">
        <is>
          <t>Escenario</t>
        </is>
      </c>
      <c r="B3" s="3" t="inlineStr">
        <is>
          <t>Variación de precio</t>
        </is>
      </c>
      <c r="C3" s="3" t="inlineStr">
        <is>
          <t>Variación de volumen</t>
        </is>
      </c>
      <c r="D3" s="3" t="inlineStr">
        <is>
          <t>Margen por contenedor</t>
        </is>
      </c>
      <c r="E3" s="3" t="inlineStr">
        <is>
          <t>Flujo acumulado a 3 años</t>
        </is>
      </c>
    </row>
    <row r="4">
      <c r="A4" s="4" t="inlineStr">
        <is>
          <t>Pesimista</t>
        </is>
      </c>
      <c r="B4" s="8" t="n">
        <v>-0.1</v>
      </c>
      <c r="C4" s="8" t="n">
        <v>-0.3</v>
      </c>
      <c r="D4" s="10">
        <f>Supuestos!$B$5*Supuestos!$B$14*(1+B4)*(1-Supuestos!$B$15-Supuestos!$B$18)-('Costo por contenedor'!$B$12+'Costo por contenedor'!$B$15)</f>
        <v/>
      </c>
      <c r="E4" s="10">
        <f>D4*(Supuestos!$B$19+Supuestos!$B$20+Supuestos!$B$21)*(1+C4)-'Inversión inicial'!$B$19-2*(Supuestos!$B$22+Supuestos!$B$23+Supuestos!$B$24+Supuestos!$B$25)</f>
        <v/>
      </c>
    </row>
    <row r="5">
      <c r="A5" s="4" t="inlineStr">
        <is>
          <t>Base</t>
        </is>
      </c>
      <c r="B5" s="8" t="n">
        <v>0</v>
      </c>
      <c r="C5" s="8" t="n">
        <v>0</v>
      </c>
      <c r="D5" s="10">
        <f>Supuestos!$B$5*Supuestos!$B$14*(1+B5)*(1-Supuestos!$B$15-Supuestos!$B$18)-('Costo por contenedor'!$B$12+'Costo por contenedor'!$B$15)</f>
        <v/>
      </c>
      <c r="E5" s="10">
        <f>D5*(Supuestos!$B$19+Supuestos!$B$20+Supuestos!$B$21)*(1+C5)-'Inversión inicial'!$B$19-2*(Supuestos!$B$22+Supuestos!$B$23+Supuestos!$B$24+Supuestos!$B$25)</f>
        <v/>
      </c>
    </row>
    <row r="6">
      <c r="A6" s="4" t="inlineStr">
        <is>
          <t>Optimista</t>
        </is>
      </c>
      <c r="B6" s="8" t="n">
        <v>0.05</v>
      </c>
      <c r="C6" s="8" t="n">
        <v>0.2</v>
      </c>
      <c r="D6" s="10">
        <f>Supuestos!$B$5*Supuestos!$B$14*(1+B6)*(1-Supuestos!$B$15-Supuestos!$B$18)-('Costo por contenedor'!$B$12+'Costo por contenedor'!$B$15)</f>
        <v/>
      </c>
      <c r="E6" s="10">
        <f>D6*(Supuestos!$B$19+Supuestos!$B$20+Supuestos!$B$21)*(1+C6)-'Inversión inicial'!$B$19-2*(Supuestos!$B$22+Supuestos!$B$23+Supuestos!$B$24+Supuestos!$B$25)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2026-10-08T18:07:51Z</dcterms:created>
  <dcterms:modified xmlns:dcterms="http://purl.org/dc/terms/" xmlns:xsi="http://www.w3.org/2001/XMLSchema-instance" xsi:type="dcterms:W3CDTF">2026-10-08T18:07:51Z</dcterms:modified>
</cp:coreProperties>
</file>